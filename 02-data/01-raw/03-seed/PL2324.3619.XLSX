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ports\"/>
    </mc:Choice>
  </mc:AlternateContent>
  <xr:revisionPtr revIDLastSave="0" documentId="8_{147C7CDD-C21F-49C6-BEC5-0645F414AF9C}" xr6:coauthVersionLast="47" xr6:coauthVersionMax="47" xr10:uidLastSave="{00000000-0000-0000-0000-000000000000}"/>
  <bookViews>
    <workbookView xWindow="28680" yWindow="855" windowWidth="29040" windowHeight="15840"/>
  </bookViews>
  <sheets>
    <sheet name="PL2324.3619" sheetId="1" r:id="rId1"/>
  </sheets>
  <definedNames>
    <definedName name="_xlnm.Print_Titles" localSheetId="0">'PL2324.3619'!$1:$9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1" i="1"/>
  <c r="O10" i="1"/>
</calcChain>
</file>

<file path=xl/sharedStrings.xml><?xml version="1.0" encoding="utf-8"?>
<sst xmlns="http://schemas.openxmlformats.org/spreadsheetml/2006/main" count="34" uniqueCount="34">
  <si>
    <t>Oak Ridge National Laboratory</t>
  </si>
  <si>
    <t>2400 College Station Road</t>
  </si>
  <si>
    <t>Bethel Valley Road</t>
  </si>
  <si>
    <t>Athens, GA 30602</t>
  </si>
  <si>
    <t>Oak Ridge TN 37831</t>
  </si>
  <si>
    <t>phone: 706-542-5350</t>
  </si>
  <si>
    <t>email: soiltest@uga.edu</t>
  </si>
  <si>
    <t>http://aesl.ces.uga.edu</t>
  </si>
  <si>
    <t>Plant Samples</t>
  </si>
  <si>
    <t>Completed: Sep 19, 2023</t>
  </si>
  <si>
    <r>
      <t xml:space="preserve">%
</t>
    </r>
    <r>
      <rPr>
        <sz val="8"/>
        <color rgb="FF000000"/>
        <rFont val="Arial"/>
        <family val="2"/>
      </rPr>
      <t>(percent)</t>
    </r>
  </si>
  <si>
    <r>
      <t xml:space="preserve">ppm
</t>
    </r>
    <r>
      <rPr>
        <sz val="8"/>
        <color rgb="FF000000"/>
        <rFont val="Arial"/>
        <family val="2"/>
      </rPr>
      <t>(parts per million)</t>
    </r>
  </si>
  <si>
    <t>Lab</t>
  </si>
  <si>
    <t>Sample</t>
  </si>
  <si>
    <r>
      <t xml:space="preserve">Ca
</t>
    </r>
    <r>
      <rPr>
        <sz val="6"/>
        <color rgb="FF000000"/>
        <rFont val="Gil Sans MT Condensed"/>
      </rPr>
      <t>calcium</t>
    </r>
  </si>
  <si>
    <r>
      <t xml:space="preserve">K
</t>
    </r>
    <r>
      <rPr>
        <sz val="6"/>
        <color rgb="FF000000"/>
        <rFont val="Gil Sans MT Condensed"/>
      </rPr>
      <t>potassium</t>
    </r>
  </si>
  <si>
    <r>
      <t xml:space="preserve">Mg
</t>
    </r>
    <r>
      <rPr>
        <sz val="6"/>
        <color rgb="FF000000"/>
        <rFont val="Gil Sans MT Condensed"/>
      </rPr>
      <t>magnesium</t>
    </r>
  </si>
  <si>
    <r>
      <t xml:space="preserve">P
</t>
    </r>
    <r>
      <rPr>
        <sz val="6"/>
        <color rgb="FF000000"/>
        <rFont val="Gil Sans MT Condensed"/>
      </rPr>
      <t>phosphorus</t>
    </r>
  </si>
  <si>
    <r>
      <t xml:space="preserve">C
</t>
    </r>
    <r>
      <rPr>
        <sz val="6"/>
        <color rgb="FF000000"/>
        <rFont val="Gil Sans MT Condensed"/>
      </rPr>
      <t>carbon</t>
    </r>
  </si>
  <si>
    <r>
      <t xml:space="preserve">N
</t>
    </r>
    <r>
      <rPr>
        <sz val="6"/>
        <color rgb="FF000000"/>
        <rFont val="Gil Sans MT Condensed"/>
      </rPr>
      <t>nitrogen</t>
    </r>
  </si>
  <si>
    <r>
      <t xml:space="preserve">S
</t>
    </r>
    <r>
      <rPr>
        <sz val="6"/>
        <color rgb="FF000000"/>
        <rFont val="Gil Sans MT Condensed"/>
      </rPr>
      <t>sulfur</t>
    </r>
  </si>
  <si>
    <r>
      <t xml:space="preserve">Al
</t>
    </r>
    <r>
      <rPr>
        <sz val="6"/>
        <color rgb="FF000000"/>
        <rFont val="Gil Sans MT Condensed"/>
      </rPr>
      <t>aluminum</t>
    </r>
  </si>
  <si>
    <r>
      <t xml:space="preserve">B
</t>
    </r>
    <r>
      <rPr>
        <sz val="6"/>
        <color rgb="FF000000"/>
        <rFont val="Gil Sans MT Condensed"/>
      </rPr>
      <t>boron</t>
    </r>
  </si>
  <si>
    <r>
      <t xml:space="preserve">Cu
</t>
    </r>
    <r>
      <rPr>
        <sz val="6"/>
        <color rgb="FF000000"/>
        <rFont val="Gil Sans MT Condensed"/>
      </rPr>
      <t>copper</t>
    </r>
  </si>
  <si>
    <r>
      <t xml:space="preserve">Fe
</t>
    </r>
    <r>
      <rPr>
        <sz val="6"/>
        <color rgb="FF000000"/>
        <rFont val="Gil Sans MT Condensed"/>
      </rPr>
      <t>iron</t>
    </r>
  </si>
  <si>
    <r>
      <t xml:space="preserve">Mn
</t>
    </r>
    <r>
      <rPr>
        <sz val="6"/>
        <color rgb="FF000000"/>
        <rFont val="Gil Sans MT Condensed"/>
      </rPr>
      <t>manganese</t>
    </r>
  </si>
  <si>
    <r>
      <t xml:space="preserve">Mo
</t>
    </r>
    <r>
      <rPr>
        <sz val="6"/>
        <color rgb="FF000000"/>
        <rFont val="Gil Sans MT Condensed"/>
      </rPr>
      <t>molybdenum</t>
    </r>
  </si>
  <si>
    <r>
      <t xml:space="preserve">Na
</t>
    </r>
    <r>
      <rPr>
        <sz val="6"/>
        <color rgb="FF000000"/>
        <rFont val="Gil Sans MT Condensed"/>
      </rPr>
      <t>sodium</t>
    </r>
  </si>
  <si>
    <r>
      <t xml:space="preserve">Ni
</t>
    </r>
    <r>
      <rPr>
        <sz val="6"/>
        <color rgb="FF000000"/>
        <rFont val="Gil Sans MT Condensed"/>
      </rPr>
      <t>nickel</t>
    </r>
  </si>
  <si>
    <r>
      <t xml:space="preserve">Si
</t>
    </r>
    <r>
      <rPr>
        <sz val="6"/>
        <color rgb="FF000000"/>
        <rFont val="Gil Sans MT Condensed"/>
      </rPr>
      <t>silicon</t>
    </r>
  </si>
  <si>
    <r>
      <t xml:space="preserve">Zn
</t>
    </r>
    <r>
      <rPr>
        <sz val="6"/>
        <color rgb="FF000000"/>
        <rFont val="Gil Sans MT Condensed"/>
      </rPr>
      <t>zinc</t>
    </r>
  </si>
  <si>
    <t>CL1-JLF</t>
  </si>
  <si>
    <t>CL2-JLF</t>
  </si>
  <si>
    <t>CL3-JLF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</si>
</sst>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6"/>
      <color rgb="FF000000"/>
      <name val="Gil Sans MT Condensed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EE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DDDDDD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DDDDDD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DDDDD"/>
      </right>
      <top/>
      <bottom style="thin">
        <color rgb="FFBBBBBB"/>
      </bottom>
      <diagonal/>
    </border>
    <border>
      <left/>
      <right style="thin">
        <color rgb="FFDDDDDD"/>
      </right>
      <top/>
      <bottom style="thin">
        <color rgb="FFBBBBBB"/>
      </bottom>
      <diagonal/>
    </border>
    <border>
      <left/>
      <right style="thin">
        <color rgb="FF000000"/>
      </right>
      <top/>
      <bottom style="thin">
        <color rgb="FFBBBBBB"/>
      </bottom>
      <diagonal/>
    </border>
    <border>
      <left style="thin">
        <color rgb="FF000000"/>
      </left>
      <right style="thin">
        <color rgb="FFDDDDDD"/>
      </right>
      <top/>
      <bottom style="thin">
        <color rgb="FF000000"/>
      </bottom>
      <diagonal/>
    </border>
    <border>
      <left/>
      <right style="thin">
        <color rgb="FFDDDDDD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1">
    <xf numFmtId="0" fontId="0" fillId="0" borderId="0" xfId="0"/>
    <xf numFmtId="0" fontId="18" fillId="0" borderId="0" xfId="0" applyFont="1" applyBorder="1" applyAlignment="1">
      <alignment wrapText="1"/>
    </xf>
    <xf numFmtId="0" fontId="18" fillId="0" borderId="0" xfId="0" applyFont="1" applyBorder="1" applyAlignment="1"/>
    <xf numFmtId="0" fontId="19" fillId="0" borderId="0" xfId="0" applyFont="1" applyBorder="1" applyAlignment="1"/>
    <xf numFmtId="0" fontId="18" fillId="0" borderId="0" xfId="0" applyFont="1" applyBorder="1" applyAlignment="1">
      <alignment horizontal="right"/>
    </xf>
    <xf numFmtId="0" fontId="20" fillId="0" borderId="0" xfId="42" applyBorder="1" applyAlignment="1">
      <alignment horizontal="right"/>
    </xf>
    <xf numFmtId="0" fontId="19" fillId="0" borderId="0" xfId="0" applyFont="1" applyBorder="1" applyAlignment="1">
      <alignment horizontal="right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right"/>
    </xf>
    <xf numFmtId="0" fontId="18" fillId="0" borderId="17" xfId="0" applyFont="1" applyBorder="1" applyAlignment="1">
      <alignment horizontal="left"/>
    </xf>
    <xf numFmtId="2" fontId="18" fillId="0" borderId="16" xfId="0" applyNumberFormat="1" applyFont="1" applyBorder="1" applyAlignment="1">
      <alignment horizontal="right"/>
    </xf>
    <xf numFmtId="2" fontId="18" fillId="0" borderId="17" xfId="0" applyNumberFormat="1" applyFont="1" applyBorder="1" applyAlignment="1">
      <alignment horizontal="right"/>
    </xf>
    <xf numFmtId="168" fontId="18" fillId="0" borderId="17" xfId="0" applyNumberFormat="1" applyFont="1" applyBorder="1" applyAlignment="1">
      <alignment horizontal="right"/>
    </xf>
    <xf numFmtId="1" fontId="18" fillId="0" borderId="16" xfId="0" applyNumberFormat="1" applyFont="1" applyBorder="1" applyAlignment="1">
      <alignment horizontal="right"/>
    </xf>
    <xf numFmtId="1" fontId="18" fillId="0" borderId="17" xfId="0" applyNumberFormat="1" applyFont="1" applyBorder="1" applyAlignment="1">
      <alignment horizontal="right"/>
    </xf>
    <xf numFmtId="168" fontId="18" fillId="0" borderId="18" xfId="0" applyNumberFormat="1" applyFont="1" applyBorder="1" applyAlignment="1">
      <alignment horizontal="right"/>
    </xf>
    <xf numFmtId="0" fontId="18" fillId="0" borderId="19" xfId="0" applyFont="1" applyBorder="1" applyAlignment="1">
      <alignment horizontal="right"/>
    </xf>
    <xf numFmtId="0" fontId="18" fillId="0" borderId="20" xfId="0" applyFont="1" applyBorder="1" applyAlignment="1">
      <alignment horizontal="left"/>
    </xf>
    <xf numFmtId="2" fontId="18" fillId="0" borderId="19" xfId="0" applyNumberFormat="1" applyFont="1" applyBorder="1" applyAlignment="1">
      <alignment horizontal="right"/>
    </xf>
    <xf numFmtId="2" fontId="18" fillId="0" borderId="20" xfId="0" applyNumberFormat="1" applyFont="1" applyBorder="1" applyAlignment="1">
      <alignment horizontal="right"/>
    </xf>
    <xf numFmtId="168" fontId="18" fillId="0" borderId="20" xfId="0" applyNumberFormat="1" applyFont="1" applyBorder="1" applyAlignment="1">
      <alignment horizontal="right"/>
    </xf>
    <xf numFmtId="1" fontId="18" fillId="0" borderId="19" xfId="0" applyNumberFormat="1" applyFont="1" applyBorder="1" applyAlignment="1">
      <alignment horizontal="right"/>
    </xf>
    <xf numFmtId="1" fontId="18" fillId="0" borderId="20" xfId="0" applyNumberFormat="1" applyFont="1" applyBorder="1" applyAlignment="1">
      <alignment horizontal="right"/>
    </xf>
    <xf numFmtId="168" fontId="18" fillId="0" borderId="21" xfId="0" applyNumberFormat="1" applyFont="1" applyBorder="1" applyAlignment="1">
      <alignment horizontal="right"/>
    </xf>
    <xf numFmtId="0" fontId="18" fillId="0" borderId="10" xfId="0" applyFont="1" applyBorder="1" applyAlignment="1"/>
    <xf numFmtId="0" fontId="18" fillId="0" borderId="21" xfId="0" applyFont="1" applyBorder="1" applyAlignment="1"/>
    <xf numFmtId="0" fontId="21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0</xdr:row>
      <xdr:rowOff>63500</xdr:rowOff>
    </xdr:from>
    <xdr:to>
      <xdr:col>14</xdr:col>
      <xdr:colOff>57150</xdr:colOff>
      <xdr:row>3</xdr:row>
      <xdr:rowOff>111125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10A7C-1945-EF58-8904-1EBD941744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63500"/>
          <a:ext cx="2286000" cy="533400"/>
        </a:xfrm>
        <a:prstGeom prst="rect">
          <a:avLst/>
        </a:prstGeom>
      </xdr:spPr>
    </xdr:pic>
    <xdr:clientData/>
  </xdr:twoCellAnchor>
  <xdr:oneCellAnchor>
    <xdr:from>
      <xdr:col>7</xdr:col>
      <xdr:colOff>63500</xdr:colOff>
      <xdr:row>3</xdr:row>
      <xdr:rowOff>149225</xdr:rowOff>
    </xdr:from>
    <xdr:ext cx="2540000" cy="49936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F7567C-B2E0-F49E-61C8-4500F95DB4C4}"/>
            </a:ext>
          </a:extLst>
        </xdr:cNvPr>
        <xdr:cNvSpPr txBox="1"/>
      </xdr:nvSpPr>
      <xdr:spPr>
        <a:xfrm>
          <a:off x="2844800" y="635000"/>
          <a:ext cx="2540000" cy="499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pPr algn="ctr"/>
          <a:r>
            <a:rPr lang="en-US" sz="1300" b="1">
              <a:latin typeface="Calibri" panose="020F0502020204030204" pitchFamily="34" charset="0"/>
            </a:rPr>
            <a:t>Ag &amp; Environmental Services Labs</a:t>
          </a:r>
        </a:p>
        <a:p>
          <a:pPr algn="ctr"/>
          <a:r>
            <a:rPr lang="en-US" sz="1300" b="1">
              <a:latin typeface="Calibri" panose="020F0502020204030204" pitchFamily="34" charset="0"/>
            </a:rPr>
            <a:t>Soil, Plant, and Water Laboratory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aesl.ces.uga.edu/" TargetMode="External"/><Relationship Id="rId1" Type="http://schemas.openxmlformats.org/officeDocument/2006/relationships/hyperlink" Target="mailto:soiltest@uga.ed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showGridLines="0" tabSelected="1" workbookViewId="0"/>
  </sheetViews>
  <sheetFormatPr defaultRowHeight="15" x14ac:dyDescent="0.25"/>
  <cols>
    <col min="1" max="1" width="5" bestFit="1" customWidth="1"/>
    <col min="2" max="2" width="8" bestFit="1" customWidth="1"/>
    <col min="3" max="3" width="4.7109375" bestFit="1" customWidth="1"/>
    <col min="4" max="4" width="6.28515625" customWidth="1"/>
    <col min="5" max="6" width="6.5703125" bestFit="1" customWidth="1"/>
    <col min="7" max="7" width="4.5703125" bestFit="1" customWidth="1"/>
    <col min="8" max="8" width="5.28515625" bestFit="1" customWidth="1"/>
    <col min="9" max="9" width="4.5703125" bestFit="1" customWidth="1"/>
    <col min="10" max="10" width="5.5703125" bestFit="1" customWidth="1"/>
    <col min="11" max="11" width="4.5703125" bestFit="1" customWidth="1"/>
    <col min="12" max="12" width="4.7109375" bestFit="1" customWidth="1"/>
    <col min="13" max="13" width="5" bestFit="1" customWidth="1"/>
    <col min="14" max="14" width="6.5703125" bestFit="1" customWidth="1"/>
    <col min="15" max="15" width="7.42578125" bestFit="1" customWidth="1"/>
    <col min="16" max="16" width="4.7109375" bestFit="1" customWidth="1"/>
    <col min="17" max="17" width="4.5703125" bestFit="1" customWidth="1"/>
    <col min="18" max="18" width="5" bestFit="1" customWidth="1"/>
    <col min="19" max="19" width="5.5703125" bestFit="1" customWidth="1"/>
    <col min="20" max="20" width="10.28515625" customWidth="1"/>
  </cols>
  <sheetData>
    <row r="1" spans="1:20" s="1" customFormat="1" ht="12.75" x14ac:dyDescent="0.2">
      <c r="A1" s="3" t="s">
        <v>0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1</v>
      </c>
    </row>
    <row r="2" spans="1:20" s="1" customFormat="1" ht="12.75" x14ac:dyDescent="0.2">
      <c r="A2" s="2" t="s">
        <v>2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 t="s">
        <v>3</v>
      </c>
    </row>
    <row r="3" spans="1:20" s="1" customFormat="1" ht="12.75" x14ac:dyDescent="0.2">
      <c r="A3" s="2" t="s">
        <v>4</v>
      </c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 t="s">
        <v>5</v>
      </c>
    </row>
    <row r="4" spans="1:20" s="1" customFormat="1" x14ac:dyDescent="0.25">
      <c r="A4" s="2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 t="s">
        <v>6</v>
      </c>
    </row>
    <row r="5" spans="1:20" s="1" customFormat="1" x14ac:dyDescent="0.25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 t="s">
        <v>7</v>
      </c>
    </row>
    <row r="6" spans="1:20" s="1" customFormat="1" ht="12.75" x14ac:dyDescent="0.2">
      <c r="A6" s="3" t="s">
        <v>8</v>
      </c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6" t="s">
        <v>9</v>
      </c>
    </row>
    <row r="7" spans="1:20" s="1" customFormat="1" ht="12.75" x14ac:dyDescent="0.2">
      <c r="A7" s="2"/>
    </row>
    <row r="8" spans="1:20" s="1" customFormat="1" ht="23.25" customHeight="1" x14ac:dyDescent="0.2">
      <c r="A8" s="26"/>
      <c r="B8" s="27"/>
      <c r="C8" s="28" t="s">
        <v>10</v>
      </c>
      <c r="D8" s="29"/>
      <c r="E8" s="29"/>
      <c r="F8" s="29"/>
      <c r="G8" s="29"/>
      <c r="H8" s="29"/>
      <c r="I8" s="30"/>
      <c r="J8" s="28" t="s">
        <v>11</v>
      </c>
      <c r="K8" s="29"/>
      <c r="L8" s="29"/>
      <c r="M8" s="29"/>
      <c r="N8" s="29"/>
      <c r="O8" s="29"/>
      <c r="P8" s="29"/>
      <c r="Q8" s="29"/>
      <c r="R8" s="29"/>
      <c r="S8" s="30"/>
    </row>
    <row r="9" spans="1:20" s="1" customFormat="1" ht="29.25" x14ac:dyDescent="0.2">
      <c r="A9" s="7" t="s">
        <v>12</v>
      </c>
      <c r="B9" s="8" t="s">
        <v>13</v>
      </c>
      <c r="C9" s="7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7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  <c r="R9" s="8" t="s">
        <v>29</v>
      </c>
      <c r="S9" s="9" t="s">
        <v>30</v>
      </c>
    </row>
    <row r="10" spans="1:20" s="1" customFormat="1" ht="12.75" x14ac:dyDescent="0.2">
      <c r="A10" s="10">
        <v>3619</v>
      </c>
      <c r="B10" s="11" t="s">
        <v>31</v>
      </c>
      <c r="C10" s="12">
        <v>0.54300000000000004</v>
      </c>
      <c r="D10" s="13">
        <v>0.82830000000000004</v>
      </c>
      <c r="E10" s="13">
        <v>0.1017</v>
      </c>
      <c r="F10" s="13">
        <v>0.1198</v>
      </c>
      <c r="G10" s="14">
        <v>51.313000000000002</v>
      </c>
      <c r="H10" s="13">
        <v>1.2609999999999999</v>
      </c>
      <c r="I10" s="13">
        <v>0.11119999999999999</v>
      </c>
      <c r="J10" s="15">
        <v>1047.54</v>
      </c>
      <c r="K10" s="14">
        <v>15.292999999999999</v>
      </c>
      <c r="L10" s="14">
        <v>10.385</v>
      </c>
      <c r="M10" s="16">
        <v>952.76599999999996</v>
      </c>
      <c r="N10" s="14">
        <v>73.409000000000006</v>
      </c>
      <c r="O10" s="13" t="str">
        <f>"&lt;1.00"</f>
        <v>&lt;1.00</v>
      </c>
      <c r="P10" s="16">
        <v>372.08100000000002</v>
      </c>
      <c r="Q10" s="13">
        <v>3.9089999999999998</v>
      </c>
      <c r="R10" s="16">
        <v>634.1</v>
      </c>
      <c r="S10" s="17">
        <v>65.393000000000001</v>
      </c>
      <c r="T10" s="4"/>
    </row>
    <row r="11" spans="1:20" s="1" customFormat="1" ht="12.75" x14ac:dyDescent="0.2">
      <c r="A11" s="10">
        <v>3620</v>
      </c>
      <c r="B11" s="11" t="s">
        <v>32</v>
      </c>
      <c r="C11" s="12">
        <v>0.70489999999999997</v>
      </c>
      <c r="D11" s="13">
        <v>0.47889999999999999</v>
      </c>
      <c r="E11" s="13">
        <v>0.1225</v>
      </c>
      <c r="F11" s="13">
        <v>0.13669999999999999</v>
      </c>
      <c r="G11" s="14">
        <v>51.929000000000002</v>
      </c>
      <c r="H11" s="13">
        <v>0.997</v>
      </c>
      <c r="I11" s="13">
        <v>8.8200000000000001E-2</v>
      </c>
      <c r="J11" s="15">
        <v>2326.6999999999998</v>
      </c>
      <c r="K11" s="14">
        <v>14.375</v>
      </c>
      <c r="L11" s="14">
        <v>17.18</v>
      </c>
      <c r="M11" s="16">
        <v>2202.7199999999998</v>
      </c>
      <c r="N11" s="14">
        <v>243.11099999999999</v>
      </c>
      <c r="O11" s="13" t="str">
        <f>"&lt;1.00"</f>
        <v>&lt;1.00</v>
      </c>
      <c r="P11" s="16">
        <v>102.42400000000001</v>
      </c>
      <c r="Q11" s="13">
        <v>8.1920000000000002</v>
      </c>
      <c r="R11" s="16">
        <v>686.08699999999999</v>
      </c>
      <c r="S11" s="17">
        <v>93.191999999999993</v>
      </c>
    </row>
    <row r="12" spans="1:20" s="1" customFormat="1" ht="12.75" x14ac:dyDescent="0.2">
      <c r="A12" s="18">
        <v>3621</v>
      </c>
      <c r="B12" s="19" t="s">
        <v>33</v>
      </c>
      <c r="C12" s="20">
        <v>0.83379999999999999</v>
      </c>
      <c r="D12" s="21">
        <v>0.52949999999999997</v>
      </c>
      <c r="E12" s="21">
        <v>0.1205</v>
      </c>
      <c r="F12" s="21">
        <v>0.13869999999999999</v>
      </c>
      <c r="G12" s="22">
        <v>52.408999999999999</v>
      </c>
      <c r="H12" s="21">
        <v>1.147</v>
      </c>
      <c r="I12" s="21">
        <v>9.8299999999999998E-2</v>
      </c>
      <c r="J12" s="23">
        <v>1686.1</v>
      </c>
      <c r="K12" s="22">
        <v>15.108000000000001</v>
      </c>
      <c r="L12" s="22">
        <v>15.162000000000001</v>
      </c>
      <c r="M12" s="24">
        <v>1488.63</v>
      </c>
      <c r="N12" s="22">
        <v>356.60300000000001</v>
      </c>
      <c r="O12" s="21" t="str">
        <f>"&lt;1.00"</f>
        <v>&lt;1.00</v>
      </c>
      <c r="P12" s="24">
        <v>213.857</v>
      </c>
      <c r="Q12" s="21">
        <v>6.5119999999999996</v>
      </c>
      <c r="R12" s="24">
        <v>1086.7</v>
      </c>
      <c r="S12" s="25">
        <v>106.508</v>
      </c>
    </row>
  </sheetData>
  <mergeCells count="3">
    <mergeCell ref="A8:B8"/>
    <mergeCell ref="C8:I8"/>
    <mergeCell ref="J8:S8"/>
  </mergeCells>
  <hyperlinks>
    <hyperlink ref="T4" r:id="rId1" display="mailto:soiltest@uga.edu"/>
    <hyperlink ref="T5" r:id="rId2" display="http://aesl.ces.uga.edu/"/>
  </hyperlinks>
  <pageMargins left="0.3" right="0.3" top="0.4" bottom="0.4" header="0.5" footer="0.25"/>
  <pageSetup orientation="landscape" horizontalDpi="1200" verticalDpi="1200" r:id="rId3"/>
  <headerFooter>
    <oddFooter>&amp;R&amp;P of &amp;N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PL2324.3619</vt:lpstr>
      <vt:lpstr>PL2324.3619!Print_Titles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Hamilton  Armit</cp:lastModifiedBy>
  <cp:lastPrinted>2023-09-19T19:46:40Z</cp:lastPrinted>
  <dcterms:created xsi:type="dcterms:W3CDTF">2023-09-19T19:46:55Z</dcterms:created>
  <dcterms:modified xsi:type="dcterms:W3CDTF">2023-09-19T19:46:55Z</dcterms:modified>
</cp:coreProperties>
</file>